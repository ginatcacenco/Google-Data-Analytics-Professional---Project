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1"/>
  </bookViews>
  <sheets>
    <sheet name="real estate" sheetId="1" r:id="rId1"/>
    <sheet name="net sal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<sst xmlns="http://schemas.openxmlformats.org/spreadsheetml/2006/main" count="32" uniqueCount="24">
  <si>
    <t>Year</t>
  </si>
  <si>
    <t>City</t>
  </si>
  <si>
    <t>Price (EUR per sqm)</t>
  </si>
  <si>
    <t>Net average salary(RON)</t>
  </si>
  <si>
    <t>Net average salary (EUR)</t>
  </si>
  <si>
    <t>Inflation rate(%)</t>
  </si>
  <si>
    <t>Price growth (%)</t>
  </si>
  <si>
    <t>Iași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</si>
  <si>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</si>
  <si>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</si>
  <si>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</si>
  <si>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</si>
  <si>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</si>
  <si>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</si>
  <si>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</si>
  <si>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</si>
  <si>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</si>
  <si>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</si>
  <si>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</si>
  <si>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</si>
  <si>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Salary growth(%)</t>
  </si>
  <si>
    <t>Net average salary (RON)</t>
  </si>
  <si>
    <t>Average EUR exchange rate</t>
  </si>
  <si>
    <t>EUR rate growth (%)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</si>
</sst>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);[Red]\(0.00\)"/>
    <numFmt numFmtId="179" formatCode="0.00_ "/>
    <numFmt numFmtId="180" formatCode="0.00&quot;%&quot;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b/>
      <sz val="11"/>
      <color rgb="FF1F1F1F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theme="4"/>
      </left>
      <right style="thin">
        <color theme="0"/>
      </right>
      <top style="thin">
        <color theme="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4"/>
      </top>
      <bottom style="thin">
        <color theme="0"/>
      </bottom>
      <diagonal/>
    </border>
    <border>
      <left style="thin">
        <color theme="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/>
      </left>
      <right style="thin">
        <color theme="0"/>
      </right>
      <top style="thin">
        <color theme="0"/>
      </top>
      <bottom style="thin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4"/>
      </right>
      <top style="thin">
        <color theme="4"/>
      </top>
      <bottom style="thin">
        <color theme="0"/>
      </bottom>
      <diagonal/>
    </border>
    <border>
      <left style="thin">
        <color theme="0"/>
      </left>
      <right style="thin">
        <color theme="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4"/>
      </right>
      <top style="thin">
        <color theme="0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4" applyNumberFormat="0" applyAlignment="0" applyProtection="0">
      <alignment vertical="center"/>
    </xf>
    <xf numFmtId="0" fontId="15" fillId="6" borderId="15" applyNumberFormat="0" applyAlignment="0" applyProtection="0">
      <alignment vertical="center"/>
    </xf>
    <xf numFmtId="0" fontId="16" fillId="6" borderId="14" applyNumberFormat="0" applyAlignment="0" applyProtection="0">
      <alignment vertical="center"/>
    </xf>
    <xf numFmtId="0" fontId="17" fillId="7" borderId="16" applyNumberFormat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3" borderId="6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 wrapText="1" readingOrder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178" fontId="0" fillId="3" borderId="4" xfId="0" applyNumberFormat="1" applyFont="1" applyFill="1" applyBorder="1" applyAlignment="1">
      <alignment horizontal="center" vertical="center"/>
    </xf>
    <xf numFmtId="178" fontId="0" fillId="3" borderId="9" xfId="0" applyNumberFormat="1" applyFont="1" applyFill="1" applyBorder="1" applyAlignment="1">
      <alignment horizontal="center" vertical="center"/>
    </xf>
    <xf numFmtId="178" fontId="0" fillId="0" borderId="4" xfId="0" applyNumberFormat="1" applyFont="1" applyFill="1" applyBorder="1" applyAlignment="1">
      <alignment horizontal="center" vertical="center"/>
    </xf>
    <xf numFmtId="10" fontId="0" fillId="0" borderId="9" xfId="3" applyNumberFormat="1" applyFont="1" applyFill="1" applyBorder="1" applyAlignment="1">
      <alignment horizontal="center" vertical="center"/>
    </xf>
    <xf numFmtId="10" fontId="0" fillId="3" borderId="9" xfId="3" applyNumberFormat="1" applyFont="1" applyFill="1" applyBorder="1" applyAlignment="1">
      <alignment horizontal="center" vertical="center"/>
    </xf>
    <xf numFmtId="178" fontId="0" fillId="3" borderId="6" xfId="0" applyNumberFormat="1" applyFont="1" applyFill="1" applyBorder="1" applyAlignment="1">
      <alignment horizontal="center" vertical="center"/>
    </xf>
    <xf numFmtId="10" fontId="0" fillId="3" borderId="10" xfId="3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 readingOrder="1"/>
    </xf>
    <xf numFmtId="179" fontId="0" fillId="3" borderId="4" xfId="0" applyNumberFormat="1" applyFont="1" applyFill="1" applyBorder="1" applyAlignment="1">
      <alignment horizontal="center" vertical="center"/>
    </xf>
    <xf numFmtId="10" fontId="0" fillId="3" borderId="9" xfId="0" applyNumberFormat="1" applyFont="1" applyFill="1" applyBorder="1" applyAlignment="1">
      <alignment horizontal="center" vertical="center"/>
    </xf>
    <xf numFmtId="179" fontId="0" fillId="0" borderId="4" xfId="0" applyNumberFormat="1" applyFont="1" applyFill="1" applyBorder="1" applyAlignment="1">
      <alignment horizontal="center" vertical="center"/>
    </xf>
    <xf numFmtId="10" fontId="0" fillId="0" borderId="9" xfId="3" applyNumberFormat="1" applyFont="1" applyFill="1" applyBorder="1" applyAlignment="1">
      <alignment horizontal="center" vertical="center"/>
    </xf>
    <xf numFmtId="10" fontId="0" fillId="3" borderId="9" xfId="3" applyNumberFormat="1" applyFont="1" applyFill="1" applyBorder="1" applyAlignment="1">
      <alignment horizontal="center" vertical="center"/>
    </xf>
    <xf numFmtId="179" fontId="0" fillId="3" borderId="6" xfId="0" applyNumberFormat="1" applyFont="1" applyFill="1" applyBorder="1" applyAlignment="1">
      <alignment horizontal="center" vertical="center"/>
    </xf>
    <xf numFmtId="10" fontId="0" fillId="3" borderId="10" xfId="3" applyNumberFormat="1" applyFont="1" applyFill="1" applyBorder="1" applyAlignment="1">
      <alignment horizontal="center" vertical="center"/>
    </xf>
    <xf numFmtId="179" fontId="4" fillId="0" borderId="0" xfId="0" applyNumberFormat="1" applyFont="1" applyAlignment="1">
      <alignment horizontal="center" vertical="center"/>
    </xf>
    <xf numFmtId="0" fontId="5" fillId="0" borderId="0" xfId="0" applyFont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8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 readingOrder="1"/>
    </xf>
    <xf numFmtId="0" fontId="0" fillId="3" borderId="4" xfId="0" applyFont="1" applyFill="1" applyBorder="1" applyAlignment="1">
      <alignment horizontal="center" vertical="center" wrapText="1" readingOrder="1"/>
    </xf>
    <xf numFmtId="178" fontId="0" fillId="3" borderId="4" xfId="0" applyNumberFormat="1" applyFont="1" applyFill="1" applyBorder="1" applyAlignment="1">
      <alignment horizontal="center" vertical="center" wrapText="1" readingOrder="1"/>
    </xf>
    <xf numFmtId="180" fontId="0" fillId="3" borderId="4" xfId="0" applyNumberFormat="1" applyFont="1" applyFill="1" applyBorder="1" applyAlignment="1">
      <alignment horizontal="center" vertical="center" wrapText="1" readingOrder="1"/>
    </xf>
    <xf numFmtId="9" fontId="0" fillId="3" borderId="9" xfId="3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 wrapText="1" readingOrder="1"/>
    </xf>
    <xf numFmtId="178" fontId="0" fillId="0" borderId="4" xfId="0" applyNumberFormat="1" applyFont="1" applyFill="1" applyBorder="1" applyAlignment="1">
      <alignment horizontal="center" vertical="center" wrapText="1" readingOrder="1"/>
    </xf>
    <xf numFmtId="180" fontId="0" fillId="0" borderId="4" xfId="0" applyNumberFormat="1" applyFont="1" applyFill="1" applyBorder="1" applyAlignment="1">
      <alignment horizontal="center" vertical="center" wrapText="1" readingOrder="1"/>
    </xf>
    <xf numFmtId="0" fontId="2" fillId="2" borderId="5" xfId="0" applyFont="1" applyFill="1" applyBorder="1" applyAlignment="1">
      <alignment horizontal="center" vertical="center" wrapText="1" readingOrder="1"/>
    </xf>
    <xf numFmtId="0" fontId="0" fillId="3" borderId="6" xfId="0" applyFont="1" applyFill="1" applyBorder="1" applyAlignment="1">
      <alignment horizontal="center" vertical="center" wrapText="1" readingOrder="1"/>
    </xf>
    <xf numFmtId="178" fontId="0" fillId="3" borderId="6" xfId="0" applyNumberFormat="1" applyFont="1" applyFill="1" applyBorder="1" applyAlignment="1">
      <alignment horizontal="center" vertical="center" wrapText="1" readingOrder="1"/>
    </xf>
    <xf numFmtId="180" fontId="0" fillId="3" borderId="6" xfId="0" applyNumberFormat="1" applyFont="1" applyFill="1" applyBorder="1" applyAlignment="1">
      <alignment horizontal="center" vertical="center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H4" sqref="H4"/>
    </sheetView>
  </sheetViews>
  <sheetFormatPr defaultColWidth="18.7777777777778" defaultRowHeight="14.4" outlineLevelRow="5" outlineLevelCol="6"/>
  <cols>
    <col min="1" max="1" width="18.7777777777778" style="2" customWidth="1"/>
    <col min="2" max="6" width="18.7777777777778" customWidth="1"/>
    <col min="7" max="7" width="18.7777777777778" style="34" customWidth="1"/>
    <col min="8" max="16384" width="18.7777777777778" customWidth="1"/>
  </cols>
  <sheetData>
    <row r="1" s="33" customFormat="1" ht="28.8" spans="1:7">
      <c r="A1" s="35" t="s">
        <v>0</v>
      </c>
      <c r="B1" s="23" t="s">
        <v>1</v>
      </c>
      <c r="C1" s="23" t="s">
        <v>2</v>
      </c>
      <c r="D1" s="23" t="s">
        <v>3</v>
      </c>
      <c r="E1" s="14" t="s">
        <v>4</v>
      </c>
      <c r="F1" s="23" t="s">
        <v>5</v>
      </c>
      <c r="G1" s="36" t="s">
        <v>6</v>
      </c>
    </row>
    <row r="2" spans="1:7">
      <c r="A2" s="37">
        <v>2021</v>
      </c>
      <c r="B2" s="38" t="s">
        <v>7</v>
      </c>
      <c r="C2" s="39">
        <v>1287</v>
      </c>
      <c r="D2" s="24">
        <v>3526.5</v>
      </c>
      <c r="E2" s="16">
        <v>716.651763940823</v>
      </c>
      <c r="F2" s="40">
        <v>5.1</v>
      </c>
      <c r="G2" s="41"/>
    </row>
    <row r="3" spans="1:7">
      <c r="A3" s="37">
        <v>2022</v>
      </c>
      <c r="B3" s="42" t="s">
        <v>7</v>
      </c>
      <c r="C3" s="43">
        <v>1326</v>
      </c>
      <c r="D3" s="26">
        <v>3973.83333333333</v>
      </c>
      <c r="E3" s="18">
        <v>805.838893057274</v>
      </c>
      <c r="F3" s="44">
        <v>13.8</v>
      </c>
      <c r="G3" s="27">
        <f>(C3-C2)/C2</f>
        <v>0.0303030303030303</v>
      </c>
    </row>
    <row r="4" spans="1:7">
      <c r="A4" s="37">
        <v>2023</v>
      </c>
      <c r="B4" s="38" t="s">
        <v>7</v>
      </c>
      <c r="C4" s="39">
        <v>1408</v>
      </c>
      <c r="D4" s="24">
        <v>4584.16666666667</v>
      </c>
      <c r="E4" s="16">
        <v>926.768289395655</v>
      </c>
      <c r="F4" s="40">
        <v>10.4</v>
      </c>
      <c r="G4" s="28">
        <f>(C4-C3)/C3</f>
        <v>0.0618401206636501</v>
      </c>
    </row>
    <row r="5" spans="1:7">
      <c r="A5" s="37">
        <v>2024</v>
      </c>
      <c r="B5" s="42" t="s">
        <v>7</v>
      </c>
      <c r="C5" s="43">
        <v>1602</v>
      </c>
      <c r="D5" s="26">
        <v>5196.66666666667</v>
      </c>
      <c r="E5" s="18">
        <v>1044.64010506707</v>
      </c>
      <c r="F5" s="44">
        <v>5.6</v>
      </c>
      <c r="G5" s="27">
        <f>(C5-C4)/C4</f>
        <v>0.137784090909091</v>
      </c>
    </row>
    <row r="6" spans="1:7">
      <c r="A6" s="45">
        <v>2025</v>
      </c>
      <c r="B6" s="46" t="s">
        <v>7</v>
      </c>
      <c r="C6" s="47">
        <v>1837</v>
      </c>
      <c r="D6" s="29">
        <v>5536</v>
      </c>
      <c r="E6" s="21">
        <v>1097.7375027265</v>
      </c>
      <c r="F6" s="48">
        <v>7.3</v>
      </c>
      <c r="G6" s="30">
        <f>(C6-C5)/C5</f>
        <v>0.14669163545568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tabSelected="1" workbookViewId="0">
      <selection activeCell="M11" sqref="M11"/>
    </sheetView>
  </sheetViews>
  <sheetFormatPr defaultColWidth="8.88888888888889" defaultRowHeight="14.4"/>
  <cols>
    <col min="1" max="1" width="6.22222222222222" style="2" customWidth="1"/>
    <col min="2" max="2" width="9.44444444444444" customWidth="1"/>
    <col min="3" max="3" width="10.5555555555556" customWidth="1"/>
    <col min="4" max="4" width="8.66666666666667" customWidth="1"/>
    <col min="5" max="5" width="7" customWidth="1"/>
    <col min="6" max="6" width="6.11111111111111" customWidth="1"/>
    <col min="7" max="7" width="6.44444444444444" customWidth="1"/>
    <col min="8" max="8" width="6.11111111111111" customWidth="1"/>
    <col min="9" max="9" width="8.55555555555556" customWidth="1"/>
    <col min="10" max="10" width="12.7777777777778" customWidth="1"/>
    <col min="11" max="11" width="9.44444444444444" customWidth="1"/>
    <col min="12" max="12" width="12.1111111111111" customWidth="1"/>
    <col min="13" max="13" width="12" customWidth="1"/>
    <col min="14" max="14" width="12.5555555555556" customWidth="1"/>
  </cols>
  <sheetData>
    <row r="1" s="1" customFormat="1" ht="43.2" spans="1:15">
      <c r="A1" s="3" t="s">
        <v>0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16</v>
      </c>
      <c r="K1" s="4" t="s">
        <v>17</v>
      </c>
      <c r="L1" s="4" t="s">
        <v>18</v>
      </c>
      <c r="M1" s="4" t="s">
        <v>19</v>
      </c>
      <c r="N1" s="23" t="s">
        <v>3</v>
      </c>
      <c r="O1" s="15" t="s">
        <v>20</v>
      </c>
    </row>
    <row r="2" spans="1:15">
      <c r="A2" s="5">
        <v>2021</v>
      </c>
      <c r="B2" s="6">
        <v>3395</v>
      </c>
      <c r="C2" s="6">
        <v>3365</v>
      </c>
      <c r="D2" s="6">
        <v>3347</v>
      </c>
      <c r="E2" s="6">
        <v>3561</v>
      </c>
      <c r="F2" s="6">
        <v>3492</v>
      </c>
      <c r="G2" s="6">
        <v>3541</v>
      </c>
      <c r="H2" s="6">
        <v>3545</v>
      </c>
      <c r="I2" s="6">
        <v>3487</v>
      </c>
      <c r="J2" s="6">
        <v>3517</v>
      </c>
      <c r="K2" s="6">
        <v>3544</v>
      </c>
      <c r="L2" s="6">
        <v>3645</v>
      </c>
      <c r="M2" s="6">
        <v>3879</v>
      </c>
      <c r="N2" s="24">
        <f>AVERAGE(B2:M2)</f>
        <v>3526.5</v>
      </c>
      <c r="O2" s="25"/>
    </row>
    <row r="3" spans="1:15">
      <c r="A3" s="5">
        <v>2022</v>
      </c>
      <c r="B3" s="7">
        <v>3698</v>
      </c>
      <c r="C3" s="7">
        <v>3721</v>
      </c>
      <c r="D3" s="7">
        <v>3937</v>
      </c>
      <c r="E3" s="7">
        <v>3967</v>
      </c>
      <c r="F3" s="7">
        <v>3928</v>
      </c>
      <c r="G3" s="7">
        <v>3977</v>
      </c>
      <c r="H3" s="7">
        <v>3975</v>
      </c>
      <c r="I3" s="7">
        <v>3933</v>
      </c>
      <c r="J3" s="7">
        <v>4003</v>
      </c>
      <c r="K3" s="7">
        <v>4008</v>
      </c>
      <c r="L3" s="7">
        <v>4141</v>
      </c>
      <c r="M3" s="7">
        <v>4398</v>
      </c>
      <c r="N3" s="26">
        <f>AVERAGE(B3:M3)</f>
        <v>3973.83333333333</v>
      </c>
      <c r="O3" s="27">
        <f>(N3-N2)/N2</f>
        <v>0.126849094947775</v>
      </c>
    </row>
    <row r="4" spans="1:15">
      <c r="A4" s="5">
        <v>2023</v>
      </c>
      <c r="B4" s="6">
        <v>4254</v>
      </c>
      <c r="C4" s="6">
        <v>4270</v>
      </c>
      <c r="D4" s="6">
        <v>4554</v>
      </c>
      <c r="E4" s="6">
        <v>4564</v>
      </c>
      <c r="F4" s="6">
        <v>4543</v>
      </c>
      <c r="G4" s="6">
        <v>4600</v>
      </c>
      <c r="H4" s="6">
        <v>4565</v>
      </c>
      <c r="I4" s="6">
        <v>4531</v>
      </c>
      <c r="J4" s="6">
        <v>4593</v>
      </c>
      <c r="K4" s="6">
        <v>4692</v>
      </c>
      <c r="L4" s="6">
        <v>4765</v>
      </c>
      <c r="M4" s="6">
        <v>5079</v>
      </c>
      <c r="N4" s="24">
        <f>AVERAGE(B4:M4)</f>
        <v>4584.16666666667</v>
      </c>
      <c r="O4" s="28">
        <f>(N4-N3)/N3</f>
        <v>0.153588055194398</v>
      </c>
    </row>
    <row r="5" spans="1:15">
      <c r="A5" s="5">
        <v>2024</v>
      </c>
      <c r="B5" s="7">
        <v>4859</v>
      </c>
      <c r="C5" s="7">
        <v>4876</v>
      </c>
      <c r="D5" s="7">
        <v>5185</v>
      </c>
      <c r="E5" s="7">
        <v>5217</v>
      </c>
      <c r="F5" s="7">
        <v>5118</v>
      </c>
      <c r="G5" s="7">
        <v>5176</v>
      </c>
      <c r="H5" s="7">
        <v>5242</v>
      </c>
      <c r="I5" s="7">
        <v>5158</v>
      </c>
      <c r="J5" s="7">
        <v>5228</v>
      </c>
      <c r="K5" s="7">
        <v>5268</v>
      </c>
      <c r="L5" s="7">
        <v>5388</v>
      </c>
      <c r="M5" s="7">
        <v>5645</v>
      </c>
      <c r="N5" s="26">
        <f>AVERAGE(B5:M5)</f>
        <v>5196.66666666667</v>
      </c>
      <c r="O5" s="27">
        <f>(N5-N4)/N4</f>
        <v>0.13361207053263</v>
      </c>
    </row>
    <row r="6" spans="1:15">
      <c r="A6" s="8">
        <v>2025</v>
      </c>
      <c r="B6" s="9">
        <v>5328</v>
      </c>
      <c r="C6" s="9">
        <v>5351</v>
      </c>
      <c r="D6" s="9">
        <v>5691</v>
      </c>
      <c r="E6" s="9">
        <v>5647</v>
      </c>
      <c r="F6" s="9">
        <v>5508</v>
      </c>
      <c r="G6" s="9">
        <v>5539</v>
      </c>
      <c r="H6" s="9">
        <v>5517</v>
      </c>
      <c r="I6" s="9">
        <v>5387</v>
      </c>
      <c r="J6" s="9">
        <v>5443</v>
      </c>
      <c r="K6" s="9">
        <v>5492</v>
      </c>
      <c r="L6" s="9">
        <v>5615</v>
      </c>
      <c r="M6" s="9">
        <v>5914</v>
      </c>
      <c r="N6" s="29">
        <f>AVERAGE(B6:M6)</f>
        <v>5536</v>
      </c>
      <c r="O6" s="30">
        <f>(N6-N5)/N5</f>
        <v>0.0652982681205895</v>
      </c>
    </row>
    <row r="7" spans="1:14">
      <c r="A7" s="10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31"/>
    </row>
    <row r="10" ht="14.55" spans="1:14">
      <c r="A10" s="10"/>
      <c r="B10" s="12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32"/>
    </row>
    <row r="11" ht="57.6" spans="1:14">
      <c r="A11" s="3" t="s">
        <v>0</v>
      </c>
      <c r="B11" s="13" t="s">
        <v>21</v>
      </c>
      <c r="C11" s="14" t="s">
        <v>22</v>
      </c>
      <c r="D11" s="14" t="s">
        <v>4</v>
      </c>
      <c r="E11" s="15" t="s">
        <v>23</v>
      </c>
      <c r="F11" s="11"/>
      <c r="G11" s="11"/>
      <c r="H11" s="11"/>
      <c r="I11" s="11"/>
      <c r="J11" s="11"/>
      <c r="K11" s="11"/>
      <c r="L11" s="11"/>
      <c r="M11" s="11"/>
      <c r="N11" s="31"/>
    </row>
    <row r="12" spans="1:14">
      <c r="A12" s="5">
        <v>2021</v>
      </c>
      <c r="B12" s="16">
        <v>3526.5</v>
      </c>
      <c r="C12" s="16">
        <v>4.9208</v>
      </c>
      <c r="D12" s="16">
        <f>B12/C12</f>
        <v>716.651763940823</v>
      </c>
      <c r="E12" s="17"/>
      <c r="F12" s="11"/>
      <c r="G12" s="11"/>
      <c r="H12" s="11"/>
      <c r="I12" s="11"/>
      <c r="J12" s="11"/>
      <c r="K12" s="11"/>
      <c r="L12" s="11"/>
      <c r="M12" s="11"/>
      <c r="N12" s="31"/>
    </row>
    <row r="13" spans="1:14">
      <c r="A13" s="5">
        <v>2022</v>
      </c>
      <c r="B13" s="18">
        <v>3973.83333333333</v>
      </c>
      <c r="C13" s="18">
        <v>4.9313</v>
      </c>
      <c r="D13" s="18">
        <f>B13/C13</f>
        <v>805.838893057274</v>
      </c>
      <c r="E13" s="19">
        <f>(C13-C12)/C12</f>
        <v>0.00213379938221436</v>
      </c>
      <c r="F13" s="11"/>
      <c r="G13" s="11"/>
      <c r="H13" s="11"/>
      <c r="I13" s="11"/>
      <c r="J13" s="11"/>
      <c r="K13" s="11"/>
      <c r="L13" s="11"/>
      <c r="M13" s="11"/>
      <c r="N13" s="31"/>
    </row>
    <row r="14" spans="1:14">
      <c r="A14" s="5">
        <v>2023</v>
      </c>
      <c r="B14" s="16">
        <v>4584.16666666667</v>
      </c>
      <c r="C14" s="16">
        <v>4.9464</v>
      </c>
      <c r="D14" s="16">
        <f>B14/C14</f>
        <v>926.768289395655</v>
      </c>
      <c r="E14" s="20">
        <f>(C14-C13)/C13</f>
        <v>0.00306207288139019</v>
      </c>
      <c r="F14" s="11"/>
      <c r="G14" s="11"/>
      <c r="H14" s="11"/>
      <c r="I14" s="11"/>
      <c r="J14" s="11"/>
      <c r="K14" s="11"/>
      <c r="L14" s="11"/>
      <c r="M14" s="11"/>
      <c r="N14" s="31"/>
    </row>
    <row r="15" spans="1:14">
      <c r="A15" s="5">
        <v>2024</v>
      </c>
      <c r="B15" s="18">
        <v>5196.66666666667</v>
      </c>
      <c r="C15" s="18">
        <v>4.9746</v>
      </c>
      <c r="D15" s="18">
        <f>B15/C15</f>
        <v>1044.64010506707</v>
      </c>
      <c r="E15" s="19">
        <f>(C15-C14)/C14</f>
        <v>0.0057011159631247</v>
      </c>
      <c r="F15" s="11"/>
      <c r="G15" s="11"/>
      <c r="H15" s="11"/>
      <c r="I15" s="11"/>
      <c r="J15" s="11"/>
      <c r="K15" s="11"/>
      <c r="L15" s="11"/>
      <c r="M15" s="11"/>
      <c r="N15" s="31"/>
    </row>
    <row r="16" spans="1:5">
      <c r="A16" s="8">
        <v>2025</v>
      </c>
      <c r="B16" s="21">
        <v>5536</v>
      </c>
      <c r="C16" s="21">
        <v>5.0431</v>
      </c>
      <c r="D16" s="21">
        <f>B16/C16</f>
        <v>1097.7375027265</v>
      </c>
      <c r="E16" s="22">
        <f>(C16-C15)/C15</f>
        <v>0.0137699513528726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real estate</vt:lpstr>
      <vt:lpstr>net salary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ginat</dc:creator>
  <cp:lastModifiedBy>ginat</cp:lastModifiedBy>
  <dcterms:created xsi:type="dcterms:W3CDTF">2026-10-16T09:20:00Z</dcterms:created>
  <dcterms:modified xsi:type="dcterms:W3CDTF">2026-10-17T19:16:34Z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5FD4203CB77F48939211F37CA29323C0_11</vt:lpwstr>
  </property>
  <property fmtid="{D5CDD505-2E9C-101B-9397-08002B2CF9AE}" pid="3" name="KSOProductBuildVer">
    <vt:lpwstr>1033-12.2.0.23206</vt:lpwstr>
  </property>
</Properties>
</file>